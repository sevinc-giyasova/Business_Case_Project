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Business Case Project\"/>
    </mc:Choice>
  </mc:AlternateContent>
  <xr:revisionPtr revIDLastSave="0" documentId="13_ncr:1_{6F7FCAF9-7826-4991-ABE6-9E8D36DF8596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Task 1" sheetId="3" r:id="rId1"/>
    <sheet name="Task 2" sheetId="1" r:id="rId2"/>
    <sheet name="Task 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2" i="4" l="1"/>
  <c r="E21" i="4"/>
  <c r="E20" i="4"/>
  <c r="C22" i="4"/>
  <c r="D22" i="4" s="1"/>
  <c r="C21" i="4"/>
  <c r="C20" i="4"/>
  <c r="B12" i="4"/>
  <c r="H10" i="4"/>
  <c r="E10" i="4"/>
  <c r="B10" i="4"/>
  <c r="H12" i="4"/>
  <c r="E12" i="4"/>
  <c r="B6" i="4"/>
  <c r="B11" i="4" s="1"/>
  <c r="C7" i="3"/>
  <c r="E12" i="3"/>
  <c r="B12" i="3"/>
  <c r="C6" i="3"/>
  <c r="C5" i="3"/>
  <c r="E10" i="3"/>
  <c r="C4" i="3"/>
  <c r="E9" i="3"/>
  <c r="B14" i="1"/>
  <c r="E14" i="1" s="1"/>
  <c r="F14" i="1" s="1"/>
  <c r="B19" i="1" s="1"/>
  <c r="C4" i="1"/>
  <c r="C5" i="1"/>
  <c r="C6" i="1"/>
  <c r="C7" i="1"/>
  <c r="H6" i="1"/>
  <c r="K6" i="1"/>
  <c r="K4" i="1"/>
  <c r="K3" i="1"/>
  <c r="B13" i="1" s="1"/>
  <c r="E13" i="1" s="1"/>
  <c r="F13" i="1" s="1"/>
  <c r="B18" i="1" s="1"/>
  <c r="D21" i="4" l="1"/>
  <c r="D20" i="4"/>
  <c r="B13" i="4"/>
  <c r="E11" i="4"/>
  <c r="B14" i="4"/>
  <c r="H11" i="4"/>
  <c r="H13" i="4" s="1"/>
  <c r="B15" i="4"/>
  <c r="E11" i="3"/>
  <c r="D18" i="1"/>
  <c r="C18" i="1"/>
  <c r="F18" i="1" s="1"/>
  <c r="C19" i="1"/>
  <c r="F19" i="1" s="1"/>
  <c r="D19" i="1"/>
  <c r="K5" i="1"/>
  <c r="B15" i="1" s="1"/>
  <c r="E15" i="1" s="1"/>
  <c r="F15" i="1" s="1"/>
  <c r="B20" i="1" s="1"/>
  <c r="E14" i="4" l="1"/>
  <c r="E15" i="4"/>
  <c r="H15" i="4"/>
  <c r="H14" i="4"/>
  <c r="E13" i="4"/>
  <c r="D20" i="1"/>
  <c r="C20" i="1"/>
  <c r="G19" i="1"/>
  <c r="E19" i="1"/>
  <c r="E18" i="1"/>
  <c r="G18" i="1"/>
  <c r="F20" i="1" l="1"/>
  <c r="E20" i="1"/>
  <c r="G20" i="1"/>
</calcChain>
</file>

<file path=xl/sharedStrings.xml><?xml version="1.0" encoding="utf-8"?>
<sst xmlns="http://schemas.openxmlformats.org/spreadsheetml/2006/main" count="92" uniqueCount="49">
  <si>
    <t>İl</t>
  </si>
  <si>
    <t>Ssenari</t>
  </si>
  <si>
    <t>Pessimistic</t>
  </si>
  <si>
    <t>Realistic</t>
  </si>
  <si>
    <t>Optimistic</t>
  </si>
  <si>
    <t>MIN</t>
  </si>
  <si>
    <t>MAX</t>
  </si>
  <si>
    <t>Satış qiyməti</t>
  </si>
  <si>
    <t>Maya dəyəri</t>
  </si>
  <si>
    <t>Marketing + OPEX xərci</t>
  </si>
  <si>
    <t>Toplam xərci</t>
  </si>
  <si>
    <t>Ümumi məlumatlar</t>
  </si>
  <si>
    <t>Ortalama göstərici nəzərə alınaraq</t>
  </si>
  <si>
    <t>MAX, Fərq artımı və s. nəzərə alınaraq</t>
  </si>
  <si>
    <t>İzahat</t>
  </si>
  <si>
    <t>Artım faizləri</t>
  </si>
  <si>
    <t>Target Məhsul Sayı</t>
  </si>
  <si>
    <t>Pre-Analiz</t>
  </si>
  <si>
    <t>Satış Fərqi</t>
  </si>
  <si>
    <t>Satış</t>
  </si>
  <si>
    <t>Artım Faizi</t>
  </si>
  <si>
    <t>Satış sayı</t>
  </si>
  <si>
    <t>Target Satış</t>
  </si>
  <si>
    <t>Target Məhsul</t>
  </si>
  <si>
    <t>ROI (%)</t>
  </si>
  <si>
    <t>CTI</t>
  </si>
  <si>
    <t>Toplam Xərc</t>
  </si>
  <si>
    <t>Toplam Gəlir</t>
  </si>
  <si>
    <t>NET gəlir</t>
  </si>
  <si>
    <t>mağaza + website</t>
  </si>
  <si>
    <t xml:space="preserve">Mövcud kanallar: 
</t>
  </si>
  <si>
    <t xml:space="preserve">Yeni kanallar: </t>
  </si>
  <si>
    <t>TrendYol, Amazon</t>
  </si>
  <si>
    <t>İllik orta artım faizi</t>
  </si>
  <si>
    <t>MIN və MAX</t>
  </si>
  <si>
    <t>Ümumi analiz</t>
  </si>
  <si>
    <t>Forecast və Cost-Benefit Analysis</t>
  </si>
  <si>
    <t>Pessimistic Ssenari</t>
  </si>
  <si>
    <t>Realistic Ssenari</t>
  </si>
  <si>
    <t>Optimistic Ssenari</t>
  </si>
  <si>
    <t>Yeni müştəri artımı analizi</t>
  </si>
  <si>
    <t>Təxmini artım</t>
  </si>
  <si>
    <t>Satış artımı</t>
  </si>
  <si>
    <t>Məhsul sayı</t>
  </si>
  <si>
    <t xml:space="preserve">Pessimistic </t>
  </si>
  <si>
    <t xml:space="preserve">Realistic </t>
  </si>
  <si>
    <t xml:space="preserve">Optimistic </t>
  </si>
  <si>
    <t>Təxmini müştəri artımı</t>
  </si>
  <si>
    <t>MIN göstərici nəzərə alınaraq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</si>
</sst>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₼&quot;_-;\-* #,##0.00\ &quot;₼&quot;_-;_-* &quot;-&quot;??\ &quot;₼&quot;_-;_-@_-"/>
    <numFmt numFmtId="43" formatCode="_-* #,##0.00_-;\-* #,##0.00_-;_-* &quot;-&quot;??_-;_-@_-"/>
    <numFmt numFmtId="164" formatCode="_-* #,##0.00\ [$₼-42C]_-;\-* #,##0.00\ [$₼-42C]_-;_-* &quot;-&quot;??\ [$₼-42C]_-;_-@_-"/>
    <numFmt numFmtId="165" formatCode="_-* #,##0_-;\-* #,##0_-;_-* &quot;-&quot;??_-;_-@_-"/>
    <numFmt numFmtId="166" formatCode="_-* #,##0\ [$₼-42C]_-;\-* #,##0\ [$₼-42C]_-;_-* &quot;-&quot;??\ [$₼-42C]_-;_-@_-"/>
    <numFmt numFmtId="167" formatCode="_-* #,##0\ &quot;₼&quot;_-;\-* #,##0\ &quot;₼&quot;_-;_-* &quot;-&quot;??\ &quot;₼&quot;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8">
    <xf numFmtId="0" fontId="0" fillId="0" borderId="0" xfId="0"/>
    <xf numFmtId="9" fontId="0" fillId="0" borderId="0" xfId="0" applyNumberFormat="1"/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4" fillId="0" borderId="1" xfId="0" applyFont="1" applyBorder="1"/>
    <xf numFmtId="164" fontId="0" fillId="0" borderId="1" xfId="0" applyNumberFormat="1" applyBorder="1"/>
    <xf numFmtId="10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65" fontId="0" fillId="0" borderId="1" xfId="1" applyNumberFormat="1" applyFont="1" applyBorder="1"/>
    <xf numFmtId="0" fontId="2" fillId="0" borderId="0" xfId="0" applyFont="1" applyBorder="1" applyAlignment="1">
      <alignment horizontal="center" vertical="center" wrapText="1"/>
    </xf>
    <xf numFmtId="3" fontId="2" fillId="0" borderId="0" xfId="0" applyNumberFormat="1" applyFont="1" applyBorder="1" applyAlignment="1">
      <alignment horizontal="center" vertical="center" wrapText="1"/>
    </xf>
    <xf numFmtId="10" fontId="2" fillId="0" borderId="0" xfId="0" applyNumberFormat="1" applyFont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right" vertical="center" wrapText="1"/>
    </xf>
    <xf numFmtId="9" fontId="2" fillId="0" borderId="1" xfId="0" applyNumberFormat="1" applyFont="1" applyBorder="1" applyAlignment="1">
      <alignment horizontal="right" vertical="center" wrapText="1"/>
    </xf>
    <xf numFmtId="10" fontId="0" fillId="0" borderId="1" xfId="0" applyNumberFormat="1" applyBorder="1" applyAlignment="1">
      <alignment horizontal="right"/>
    </xf>
    <xf numFmtId="9" fontId="0" fillId="0" borderId="1" xfId="0" applyNumberFormat="1" applyBorder="1" applyAlignment="1">
      <alignment horizontal="right"/>
    </xf>
    <xf numFmtId="0" fontId="6" fillId="0" borderId="1" xfId="0" applyFont="1" applyBorder="1"/>
    <xf numFmtId="165" fontId="2" fillId="0" borderId="1" xfId="1" applyNumberFormat="1" applyFont="1" applyBorder="1" applyAlignment="1">
      <alignment horizontal="right" vertical="center" wrapText="1"/>
    </xf>
    <xf numFmtId="166" fontId="0" fillId="0" borderId="1" xfId="1" applyNumberFormat="1" applyFont="1" applyBorder="1"/>
    <xf numFmtId="166" fontId="2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9" fontId="0" fillId="0" borderId="1" xfId="0" applyNumberFormat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166" fontId="0" fillId="0" borderId="1" xfId="0" applyNumberFormat="1" applyBorder="1"/>
    <xf numFmtId="166" fontId="0" fillId="0" borderId="1" xfId="0" applyNumberForma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horizontal="center"/>
    </xf>
    <xf numFmtId="9" fontId="0" fillId="0" borderId="1" xfId="3" applyFont="1" applyBorder="1"/>
    <xf numFmtId="9" fontId="0" fillId="0" borderId="1" xfId="3" applyNumberFormat="1" applyFont="1" applyBorder="1"/>
    <xf numFmtId="2" fontId="0" fillId="0" borderId="1" xfId="3" applyNumberFormat="1" applyFont="1" applyBorder="1"/>
    <xf numFmtId="165" fontId="0" fillId="0" borderId="1" xfId="0" applyNumberFormat="1" applyBorder="1"/>
    <xf numFmtId="165" fontId="0" fillId="2" borderId="1" xfId="0" applyNumberFormat="1" applyFill="1" applyBorder="1"/>
    <xf numFmtId="167" fontId="0" fillId="0" borderId="1" xfId="2" applyNumberFormat="1" applyFont="1" applyBorder="1"/>
    <xf numFmtId="0" fontId="0" fillId="2" borderId="1" xfId="0" applyFill="1" applyBorder="1"/>
    <xf numFmtId="0" fontId="4" fillId="0" borderId="1" xfId="0" applyFont="1" applyFill="1" applyBorder="1" applyAlignment="1">
      <alignment horizontal="center"/>
    </xf>
    <xf numFmtId="9" fontId="1" fillId="0" borderId="1" xfId="3" applyFont="1" applyFill="1" applyBorder="1" applyAlignment="1"/>
    <xf numFmtId="167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0" fontId="6" fillId="0" borderId="1" xfId="0" applyFont="1" applyFill="1" applyBorder="1" applyAlignment="1"/>
  </cellXfs>
  <cellStyles count="4">
    <cellStyle name="Comma" xfId="1" builtinId="3"/>
    <cellStyle name="Currency" xfId="2" builtinId="4"/>
    <cellStyle name="Normal" xfId="0" builtinId="0"/>
    <cellStyle name="Per 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90F0B-5DCC-4737-8F63-FD0ECE2F2579}">
  <dimension ref="A1:K14"/>
  <sheetViews>
    <sheetView workbookViewId="0">
      <selection activeCell="E16" sqref="E16"/>
    </sheetView>
  </sheetViews>
  <sheetFormatPr defaultRowHeight="15" x14ac:dyDescent="0.25"/>
  <cols>
    <col min="1" max="1" width="21.85546875" bestFit="1" customWidth="1"/>
    <col min="2" max="2" width="17.28515625" bestFit="1" customWidth="1"/>
    <col min="3" max="3" width="12" customWidth="1"/>
    <col min="4" max="4" width="18.42578125" customWidth="1"/>
    <col min="5" max="5" width="18.5703125" customWidth="1"/>
    <col min="6" max="6" width="18" customWidth="1"/>
    <col min="7" max="7" width="17.7109375" customWidth="1"/>
    <col min="8" max="8" width="18.7109375" customWidth="1"/>
    <col min="9" max="9" width="7.7109375" customWidth="1"/>
    <col min="10" max="10" width="17.85546875" bestFit="1" customWidth="1"/>
    <col min="11" max="11" width="18.5703125" customWidth="1"/>
  </cols>
  <sheetData>
    <row r="1" spans="1:11" ht="26.25" x14ac:dyDescent="0.4">
      <c r="A1" s="41" t="s">
        <v>35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r="3" spans="1:11" x14ac:dyDescent="0.25">
      <c r="A3" s="3" t="s">
        <v>0</v>
      </c>
      <c r="B3" s="3" t="s">
        <v>19</v>
      </c>
      <c r="C3" s="3" t="s">
        <v>21</v>
      </c>
      <c r="D3" s="3" t="s">
        <v>18</v>
      </c>
      <c r="E3" s="3" t="s">
        <v>20</v>
      </c>
    </row>
    <row r="4" spans="1:11" x14ac:dyDescent="0.25">
      <c r="A4" s="2">
        <v>2021</v>
      </c>
      <c r="B4" s="20">
        <v>120000</v>
      </c>
      <c r="C4" s="18">
        <f>B4/$B$9</f>
        <v>60000</v>
      </c>
      <c r="D4" s="20">
        <v>10000</v>
      </c>
      <c r="E4" s="13">
        <v>9.0999999999999998E-2</v>
      </c>
    </row>
    <row r="5" spans="1:11" x14ac:dyDescent="0.25">
      <c r="A5" s="2">
        <v>2022</v>
      </c>
      <c r="B5" s="20">
        <v>132000</v>
      </c>
      <c r="C5" s="18">
        <f>B5/$B$9</f>
        <v>66000</v>
      </c>
      <c r="D5" s="20">
        <v>12000</v>
      </c>
      <c r="E5" s="14">
        <v>0.1</v>
      </c>
    </row>
    <row r="6" spans="1:11" x14ac:dyDescent="0.25">
      <c r="A6" s="2">
        <v>2023</v>
      </c>
      <c r="B6" s="20">
        <v>147000</v>
      </c>
      <c r="C6" s="18">
        <f>B6/$B$9</f>
        <v>73500</v>
      </c>
      <c r="D6" s="20">
        <v>15000</v>
      </c>
      <c r="E6" s="13">
        <v>0.113</v>
      </c>
    </row>
    <row r="7" spans="1:11" x14ac:dyDescent="0.25">
      <c r="A7" s="2">
        <v>2024</v>
      </c>
      <c r="B7" s="20">
        <v>160000</v>
      </c>
      <c r="C7" s="18">
        <f>B7/$B$9</f>
        <v>80000</v>
      </c>
      <c r="D7" s="20">
        <v>13000</v>
      </c>
      <c r="E7" s="13">
        <v>8.8400000000000006E-2</v>
      </c>
    </row>
    <row r="8" spans="1:11" x14ac:dyDescent="0.25">
      <c r="A8" s="10"/>
      <c r="B8" s="11"/>
      <c r="C8" s="11"/>
      <c r="D8" s="11"/>
      <c r="E8" s="12"/>
    </row>
    <row r="9" spans="1:11" x14ac:dyDescent="0.25">
      <c r="A9" s="5" t="s">
        <v>7</v>
      </c>
      <c r="B9" s="6">
        <v>2</v>
      </c>
      <c r="D9" s="7" t="s">
        <v>5</v>
      </c>
      <c r="E9" s="15">
        <f>MIN(E4:E7)</f>
        <v>8.8400000000000006E-2</v>
      </c>
    </row>
    <row r="10" spans="1:11" x14ac:dyDescent="0.25">
      <c r="A10" s="5" t="s">
        <v>8</v>
      </c>
      <c r="B10" s="6">
        <v>0.9</v>
      </c>
      <c r="D10" s="7" t="s">
        <v>6</v>
      </c>
      <c r="E10" s="15">
        <f>MAX(E4:E7)</f>
        <v>0.113</v>
      </c>
    </row>
    <row r="11" spans="1:11" x14ac:dyDescent="0.25">
      <c r="A11" s="5" t="s">
        <v>9</v>
      </c>
      <c r="B11" s="6">
        <v>0.45</v>
      </c>
      <c r="D11" s="7" t="s">
        <v>34</v>
      </c>
      <c r="E11" s="15">
        <f>E10-E9</f>
        <v>2.4599999999999997E-2</v>
      </c>
    </row>
    <row r="12" spans="1:11" x14ac:dyDescent="0.25">
      <c r="A12" s="5" t="s">
        <v>10</v>
      </c>
      <c r="B12" s="6">
        <f>B10+B11</f>
        <v>1.35</v>
      </c>
      <c r="D12" s="7" t="s">
        <v>33</v>
      </c>
      <c r="E12" s="15">
        <f>AVERAGE(E4:E7)</f>
        <v>9.8099999999999993E-2</v>
      </c>
    </row>
    <row r="13" spans="1:11" x14ac:dyDescent="0.25">
      <c r="A13" s="5" t="s">
        <v>30</v>
      </c>
      <c r="B13" s="4" t="s">
        <v>29</v>
      </c>
    </row>
    <row r="14" spans="1:11" x14ac:dyDescent="0.25">
      <c r="A14" s="5" t="s">
        <v>31</v>
      </c>
      <c r="B14" s="4" t="s">
        <v>32</v>
      </c>
    </row>
  </sheetData>
  <mergeCells count="1">
    <mergeCell ref="A1:K1"/>
  </mergeCells>
  <conditionalFormatting sqref="E4:E7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{7EDDA498-AB8A-4B15-91F0-B1C159C09AA5}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EDDA498-AB8A-4B15-91F0-B1C159C09AA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E4:E7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opLeftCell="A5" workbookViewId="0">
      <selection activeCell="H14" sqref="H14"/>
    </sheetView>
  </sheetViews>
  <sheetFormatPr defaultRowHeight="15" x14ac:dyDescent="0.25"/>
  <cols>
    <col min="1" max="1" width="12.7109375" customWidth="1"/>
    <col min="2" max="2" width="14.85546875" customWidth="1"/>
    <col min="3" max="3" width="14.140625" customWidth="1"/>
    <col min="4" max="4" width="21.140625" customWidth="1"/>
    <col min="5" max="5" width="14.85546875" customWidth="1"/>
    <col min="6" max="6" width="18" customWidth="1"/>
    <col min="7" max="7" width="17.7109375" customWidth="1"/>
    <col min="8" max="8" width="18.7109375" customWidth="1"/>
    <col min="9" max="9" width="7.7109375" customWidth="1"/>
    <col min="10" max="10" width="17.85546875" bestFit="1" customWidth="1"/>
    <col min="11" max="11" width="18.5703125" customWidth="1"/>
  </cols>
  <sheetData>
    <row r="1" spans="1:11" ht="26.25" x14ac:dyDescent="0.4">
      <c r="A1" s="41" t="s">
        <v>11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r="3" spans="1:11" x14ac:dyDescent="0.25">
      <c r="A3" s="3" t="s">
        <v>0</v>
      </c>
      <c r="B3" s="3" t="s">
        <v>19</v>
      </c>
      <c r="C3" s="3" t="s">
        <v>21</v>
      </c>
      <c r="D3" s="3" t="s">
        <v>18</v>
      </c>
      <c r="E3" s="3" t="s">
        <v>20</v>
      </c>
      <c r="G3" s="5" t="s">
        <v>7</v>
      </c>
      <c r="H3" s="6">
        <v>2</v>
      </c>
      <c r="J3" s="7" t="s">
        <v>5</v>
      </c>
      <c r="K3" s="15">
        <f>MIN(E4:E7)</f>
        <v>8.8400000000000006E-2</v>
      </c>
    </row>
    <row r="4" spans="1:11" x14ac:dyDescent="0.25">
      <c r="A4" s="2">
        <v>2021</v>
      </c>
      <c r="B4" s="20">
        <v>120000</v>
      </c>
      <c r="C4" s="18">
        <f>B4/$H$3</f>
        <v>60000</v>
      </c>
      <c r="D4" s="20">
        <v>10000</v>
      </c>
      <c r="E4" s="13">
        <v>9.0999999999999998E-2</v>
      </c>
      <c r="G4" s="5" t="s">
        <v>8</v>
      </c>
      <c r="H4" s="6">
        <v>0.9</v>
      </c>
      <c r="J4" s="7" t="s">
        <v>6</v>
      </c>
      <c r="K4" s="15">
        <f>MAX(E4:E7)</f>
        <v>0.113</v>
      </c>
    </row>
    <row r="5" spans="1:11" x14ac:dyDescent="0.25">
      <c r="A5" s="2">
        <v>2022</v>
      </c>
      <c r="B5" s="20">
        <v>132000</v>
      </c>
      <c r="C5" s="18">
        <f>B5/$H$3</f>
        <v>66000</v>
      </c>
      <c r="D5" s="20">
        <v>12000</v>
      </c>
      <c r="E5" s="14">
        <v>0.1</v>
      </c>
      <c r="G5" s="5" t="s">
        <v>9</v>
      </c>
      <c r="H5" s="6">
        <v>0.45</v>
      </c>
      <c r="J5" s="7" t="s">
        <v>34</v>
      </c>
      <c r="K5" s="15">
        <f>K4-K3</f>
        <v>2.4599999999999997E-2</v>
      </c>
    </row>
    <row r="6" spans="1:11" x14ac:dyDescent="0.25">
      <c r="A6" s="2">
        <v>2023</v>
      </c>
      <c r="B6" s="20">
        <v>147000</v>
      </c>
      <c r="C6" s="18">
        <f>B6/$H$3</f>
        <v>73500</v>
      </c>
      <c r="D6" s="20">
        <v>15000</v>
      </c>
      <c r="E6" s="13">
        <v>0.113</v>
      </c>
      <c r="G6" s="5" t="s">
        <v>10</v>
      </c>
      <c r="H6" s="6">
        <f>H4+H5</f>
        <v>1.35</v>
      </c>
      <c r="J6" s="7" t="s">
        <v>33</v>
      </c>
      <c r="K6" s="15">
        <f>AVERAGE(E4:E7)</f>
        <v>9.8099999999999993E-2</v>
      </c>
    </row>
    <row r="7" spans="1:11" x14ac:dyDescent="0.25">
      <c r="A7" s="2">
        <v>2024</v>
      </c>
      <c r="B7" s="20">
        <v>160000</v>
      </c>
      <c r="C7" s="18">
        <f>B7/$H$3</f>
        <v>80000</v>
      </c>
      <c r="D7" s="20">
        <v>13000</v>
      </c>
      <c r="E7" s="13">
        <v>8.8400000000000006E-2</v>
      </c>
    </row>
    <row r="8" spans="1:11" x14ac:dyDescent="0.25">
      <c r="A8" s="10"/>
      <c r="B8" s="11"/>
      <c r="C8" s="11"/>
      <c r="D8" s="11"/>
      <c r="E8" s="12"/>
    </row>
    <row r="10" spans="1:11" ht="26.25" x14ac:dyDescent="0.4">
      <c r="A10" s="41" t="s">
        <v>17</v>
      </c>
      <c r="B10" s="41"/>
      <c r="C10" s="41"/>
      <c r="D10" s="41"/>
      <c r="E10" s="41"/>
      <c r="F10" s="41"/>
      <c r="G10" s="41"/>
      <c r="H10" s="41"/>
      <c r="I10" s="41"/>
      <c r="J10" s="41"/>
      <c r="K10" s="41"/>
    </row>
    <row r="11" spans="1:11" x14ac:dyDescent="0.25">
      <c r="H11" s="1"/>
    </row>
    <row r="12" spans="1:11" x14ac:dyDescent="0.25">
      <c r="A12" s="8" t="s">
        <v>1</v>
      </c>
      <c r="B12" s="8" t="s">
        <v>15</v>
      </c>
      <c r="C12" s="42" t="s">
        <v>14</v>
      </c>
      <c r="D12" s="43"/>
      <c r="E12" s="8" t="s">
        <v>22</v>
      </c>
      <c r="F12" s="8" t="s">
        <v>16</v>
      </c>
    </row>
    <row r="13" spans="1:11" x14ac:dyDescent="0.25">
      <c r="A13" s="17" t="s">
        <v>2</v>
      </c>
      <c r="B13" s="16">
        <f>ROUNDDOWN(K3,2)</f>
        <v>0.08</v>
      </c>
      <c r="C13" s="44" t="s">
        <v>48</v>
      </c>
      <c r="D13" s="45"/>
      <c r="E13" s="19">
        <f>$B$7*B13+$B$7</f>
        <v>172800</v>
      </c>
      <c r="F13" s="9">
        <f>E13/$H$3</f>
        <v>86400</v>
      </c>
    </row>
    <row r="14" spans="1:11" x14ac:dyDescent="0.25">
      <c r="A14" s="17" t="s">
        <v>3</v>
      </c>
      <c r="B14" s="16">
        <f>ROUND(K6,2)</f>
        <v>0.1</v>
      </c>
      <c r="C14" s="44" t="s">
        <v>12</v>
      </c>
      <c r="D14" s="45"/>
      <c r="E14" s="19">
        <f>$B$7*B14+$B$7</f>
        <v>176000</v>
      </c>
      <c r="F14" s="9">
        <f>E14/$H$3</f>
        <v>88000</v>
      </c>
    </row>
    <row r="15" spans="1:11" x14ac:dyDescent="0.25">
      <c r="A15" s="17" t="s">
        <v>4</v>
      </c>
      <c r="B15" s="16">
        <f>ROUND(K4+K5,2)</f>
        <v>0.14000000000000001</v>
      </c>
      <c r="C15" s="44" t="s">
        <v>13</v>
      </c>
      <c r="D15" s="45"/>
      <c r="E15" s="19">
        <f>$B$7*B15+$B$7</f>
        <v>182400</v>
      </c>
      <c r="F15" s="9">
        <f>E15/$H$3</f>
        <v>91200</v>
      </c>
    </row>
    <row r="17" spans="1:7" x14ac:dyDescent="0.25">
      <c r="A17" s="21" t="s">
        <v>1</v>
      </c>
      <c r="B17" s="21" t="s">
        <v>23</v>
      </c>
      <c r="C17" s="21" t="s">
        <v>26</v>
      </c>
      <c r="D17" s="21" t="s">
        <v>27</v>
      </c>
      <c r="E17" s="21" t="s">
        <v>24</v>
      </c>
      <c r="F17" s="21" t="s">
        <v>25</v>
      </c>
      <c r="G17" s="24" t="s">
        <v>28</v>
      </c>
    </row>
    <row r="18" spans="1:7" x14ac:dyDescent="0.25">
      <c r="A18" s="27" t="s">
        <v>2</v>
      </c>
      <c r="B18" s="26">
        <f>F13</f>
        <v>86400</v>
      </c>
      <c r="C18" s="26">
        <f>B18*$H$6</f>
        <v>116640.00000000001</v>
      </c>
      <c r="D18" s="26">
        <f>B18*$H$3</f>
        <v>172800</v>
      </c>
      <c r="E18" s="23">
        <f>(D18-C18)/C18</f>
        <v>0.48148148148148129</v>
      </c>
      <c r="F18" s="22">
        <f>C18/D18</f>
        <v>0.67500000000000004</v>
      </c>
      <c r="G18" s="25">
        <f>D18-C18</f>
        <v>56159.999999999985</v>
      </c>
    </row>
    <row r="19" spans="1:7" x14ac:dyDescent="0.25">
      <c r="A19" s="27" t="s">
        <v>3</v>
      </c>
      <c r="B19" s="26">
        <f>F14</f>
        <v>88000</v>
      </c>
      <c r="C19" s="26">
        <f>B19*$H$6</f>
        <v>118800.00000000001</v>
      </c>
      <c r="D19" s="26">
        <f>B19*$H$3</f>
        <v>176000</v>
      </c>
      <c r="E19" s="23">
        <f>(D19-C19)/C19</f>
        <v>0.48148148148148129</v>
      </c>
      <c r="F19" s="22">
        <f>C19/D19</f>
        <v>0.67500000000000004</v>
      </c>
      <c r="G19" s="25">
        <f>D19-C19</f>
        <v>57199.999999999985</v>
      </c>
    </row>
    <row r="20" spans="1:7" x14ac:dyDescent="0.25">
      <c r="A20" s="27" t="s">
        <v>4</v>
      </c>
      <c r="B20" s="26">
        <f>F15</f>
        <v>91200</v>
      </c>
      <c r="C20" s="26">
        <f>B20*$H$6</f>
        <v>123120.00000000001</v>
      </c>
      <c r="D20" s="26">
        <f>B20*$H$3</f>
        <v>182400</v>
      </c>
      <c r="E20" s="23">
        <f>(D20-C20)/C20</f>
        <v>0.48148148148148129</v>
      </c>
      <c r="F20" s="22">
        <f>C20/D20</f>
        <v>0.67500000000000004</v>
      </c>
      <c r="G20" s="25">
        <f>D20-C20</f>
        <v>59279.999999999985</v>
      </c>
    </row>
  </sheetData>
  <mergeCells count="6">
    <mergeCell ref="A1:K1"/>
    <mergeCell ref="C12:D12"/>
    <mergeCell ref="C14:D14"/>
    <mergeCell ref="C13:D13"/>
    <mergeCell ref="C15:D15"/>
    <mergeCell ref="A10:K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3D7AB-C6D8-4E89-9AC7-9F35187D768E}">
  <dimension ref="A1:K22"/>
  <sheetViews>
    <sheetView tabSelected="1" workbookViewId="0">
      <selection activeCell="B20" sqref="B20"/>
    </sheetView>
  </sheetViews>
  <sheetFormatPr defaultRowHeight="15" x14ac:dyDescent="0.25"/>
  <cols>
    <col min="1" max="1" width="24.28515625" customWidth="1"/>
    <col min="2" max="2" width="21.140625" customWidth="1"/>
    <col min="3" max="3" width="20.5703125" customWidth="1"/>
    <col min="4" max="5" width="21.5703125" bestFit="1" customWidth="1"/>
    <col min="6" max="6" width="12.5703125" customWidth="1"/>
    <col min="7" max="7" width="22.7109375" customWidth="1"/>
    <col min="8" max="8" width="19.42578125" customWidth="1"/>
    <col min="9" max="9" width="12" customWidth="1"/>
    <col min="10" max="10" width="6" bestFit="1" customWidth="1"/>
    <col min="11" max="11" width="14.5703125" customWidth="1"/>
  </cols>
  <sheetData>
    <row r="1" spans="1:11" ht="26.25" x14ac:dyDescent="0.4">
      <c r="A1" s="41" t="s">
        <v>36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r="3" spans="1:11" x14ac:dyDescent="0.25">
      <c r="A3" s="5" t="s">
        <v>7</v>
      </c>
      <c r="B3" s="6">
        <v>2</v>
      </c>
    </row>
    <row r="4" spans="1:11" x14ac:dyDescent="0.25">
      <c r="A4" s="5" t="s">
        <v>8</v>
      </c>
      <c r="B4" s="6">
        <v>0.9</v>
      </c>
    </row>
    <row r="5" spans="1:11" x14ac:dyDescent="0.25">
      <c r="A5" s="5" t="s">
        <v>9</v>
      </c>
      <c r="B5" s="6">
        <v>0.45</v>
      </c>
    </row>
    <row r="6" spans="1:11" x14ac:dyDescent="0.25">
      <c r="A6" s="5" t="s">
        <v>10</v>
      </c>
      <c r="B6" s="6">
        <f>B4+B5</f>
        <v>1.35</v>
      </c>
    </row>
    <row r="8" spans="1:11" x14ac:dyDescent="0.25">
      <c r="A8" s="46" t="s">
        <v>37</v>
      </c>
      <c r="B8" s="46"/>
      <c r="D8" s="46" t="s">
        <v>38</v>
      </c>
      <c r="E8" s="46"/>
      <c r="G8" s="46" t="s">
        <v>39</v>
      </c>
      <c r="H8" s="46"/>
    </row>
    <row r="9" spans="1:11" x14ac:dyDescent="0.25">
      <c r="A9" s="4" t="s">
        <v>23</v>
      </c>
      <c r="B9" s="9">
        <v>86400</v>
      </c>
      <c r="D9" s="4" t="s">
        <v>23</v>
      </c>
      <c r="E9" s="9">
        <v>88000</v>
      </c>
      <c r="G9" s="4" t="s">
        <v>23</v>
      </c>
      <c r="H9" s="9">
        <v>91200</v>
      </c>
    </row>
    <row r="10" spans="1:11" x14ac:dyDescent="0.25">
      <c r="A10" s="4" t="s">
        <v>9</v>
      </c>
      <c r="B10" s="9">
        <f>B9*B5</f>
        <v>38880</v>
      </c>
      <c r="D10" s="4" t="s">
        <v>9</v>
      </c>
      <c r="E10" s="9">
        <f>B5*E9</f>
        <v>39600</v>
      </c>
      <c r="G10" s="4" t="s">
        <v>9</v>
      </c>
      <c r="H10" s="9">
        <f>H9*B5</f>
        <v>41040</v>
      </c>
    </row>
    <row r="11" spans="1:11" x14ac:dyDescent="0.25">
      <c r="A11" s="4" t="s">
        <v>26</v>
      </c>
      <c r="B11" s="34">
        <f>B9*B6</f>
        <v>116640.00000000001</v>
      </c>
      <c r="D11" s="4" t="s">
        <v>26</v>
      </c>
      <c r="E11" s="19">
        <f>B6*E9</f>
        <v>118800.00000000001</v>
      </c>
      <c r="G11" s="4" t="s">
        <v>26</v>
      </c>
      <c r="H11" s="9">
        <f>H9*B6</f>
        <v>123120.00000000001</v>
      </c>
    </row>
    <row r="12" spans="1:11" x14ac:dyDescent="0.25">
      <c r="A12" s="4" t="s">
        <v>27</v>
      </c>
      <c r="B12" s="34">
        <f>B9*B3</f>
        <v>172800</v>
      </c>
      <c r="D12" s="4" t="s">
        <v>27</v>
      </c>
      <c r="E12" s="19">
        <f>E9*B3</f>
        <v>176000</v>
      </c>
      <c r="G12" s="4" t="s">
        <v>27</v>
      </c>
      <c r="H12" s="9">
        <f>H9*B3</f>
        <v>182400</v>
      </c>
    </row>
    <row r="13" spans="1:11" x14ac:dyDescent="0.25">
      <c r="A13" s="4" t="s">
        <v>24</v>
      </c>
      <c r="B13" s="30">
        <f>(B12-B11)/B11</f>
        <v>0.48148148148148129</v>
      </c>
      <c r="D13" s="4" t="s">
        <v>24</v>
      </c>
      <c r="E13" s="30">
        <f>(E12-E11)/E11</f>
        <v>0.48148148148148129</v>
      </c>
      <c r="G13" s="4" t="s">
        <v>24</v>
      </c>
      <c r="H13" s="30">
        <f>(H12-H11)/H11</f>
        <v>0.48148148148148129</v>
      </c>
    </row>
    <row r="14" spans="1:11" x14ac:dyDescent="0.25">
      <c r="A14" s="4" t="s">
        <v>25</v>
      </c>
      <c r="B14" s="31">
        <f>B11/B12</f>
        <v>0.67500000000000004</v>
      </c>
      <c r="D14" s="4" t="s">
        <v>25</v>
      </c>
      <c r="E14" s="31">
        <f>E11/E12</f>
        <v>0.67500000000000004</v>
      </c>
      <c r="G14" s="4" t="s">
        <v>25</v>
      </c>
      <c r="H14" s="31">
        <f>H11/H12</f>
        <v>0.67500000000000004</v>
      </c>
    </row>
    <row r="15" spans="1:11" x14ac:dyDescent="0.25">
      <c r="A15" s="35" t="s">
        <v>28</v>
      </c>
      <c r="B15" s="33">
        <f>B12-B11</f>
        <v>56159.999999999985</v>
      </c>
      <c r="D15" s="35" t="s">
        <v>28</v>
      </c>
      <c r="E15" s="33">
        <f>E12-E11</f>
        <v>57199.999999999985</v>
      </c>
      <c r="G15" s="35" t="s">
        <v>28</v>
      </c>
      <c r="H15" s="33">
        <f>H12-H11</f>
        <v>59279.999999999985</v>
      </c>
    </row>
    <row r="17" spans="1:11" ht="26.25" x14ac:dyDescent="0.4">
      <c r="A17" s="41" t="s">
        <v>40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</row>
    <row r="19" spans="1:11" x14ac:dyDescent="0.25">
      <c r="A19" s="36" t="s">
        <v>1</v>
      </c>
      <c r="B19" s="36" t="s">
        <v>41</v>
      </c>
      <c r="C19" s="8" t="s">
        <v>42</v>
      </c>
      <c r="D19" s="36" t="s">
        <v>43</v>
      </c>
      <c r="E19" s="28" t="s">
        <v>47</v>
      </c>
    </row>
    <row r="20" spans="1:11" x14ac:dyDescent="0.25">
      <c r="A20" s="47" t="s">
        <v>44</v>
      </c>
      <c r="B20" s="37">
        <v>0.12</v>
      </c>
      <c r="C20" s="38">
        <f>B12*0.12+B12</f>
        <v>193536</v>
      </c>
      <c r="D20" s="9">
        <f>C20/$B$3</f>
        <v>96768</v>
      </c>
      <c r="E20" s="32">
        <f>D20-B9</f>
        <v>10368</v>
      </c>
    </row>
    <row r="21" spans="1:11" x14ac:dyDescent="0.25">
      <c r="A21" s="47" t="s">
        <v>45</v>
      </c>
      <c r="B21" s="29">
        <v>0.15</v>
      </c>
      <c r="C21" s="39">
        <f>E12*B21+E12</f>
        <v>202400</v>
      </c>
      <c r="D21" s="9">
        <f t="shared" ref="D21:D22" si="0">C21/$B$3</f>
        <v>101200</v>
      </c>
      <c r="E21" s="32">
        <f>D21-E9</f>
        <v>13200</v>
      </c>
    </row>
    <row r="22" spans="1:11" x14ac:dyDescent="0.25">
      <c r="A22" s="47" t="s">
        <v>46</v>
      </c>
      <c r="B22" s="29">
        <v>0.18</v>
      </c>
      <c r="C22" s="40">
        <f>H12*B22+H12</f>
        <v>215232</v>
      </c>
      <c r="D22" s="9">
        <f t="shared" si="0"/>
        <v>107616</v>
      </c>
      <c r="E22" s="32">
        <f>D22-H9</f>
        <v>16416</v>
      </c>
    </row>
  </sheetData>
  <mergeCells count="5">
    <mergeCell ref="A17:K17"/>
    <mergeCell ref="A1:K1"/>
    <mergeCell ref="A8:B8"/>
    <mergeCell ref="D8:E8"/>
    <mergeCell ref="G8:H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 1</vt:lpstr>
      <vt:lpstr>Task 2</vt:lpstr>
      <vt:lpstr>Task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Sevinc Qiyasova</dc:creator>
  <cp:lastModifiedBy>AzComp</cp:lastModifiedBy>
  <dcterms:created xsi:type="dcterms:W3CDTF">2015-06-05T18:17:20Z</dcterms:created>
  <dcterms:modified xsi:type="dcterms:W3CDTF">2025-12-10T20:30:36Z</dcterms:modified>
</cp:coreProperties>
</file>